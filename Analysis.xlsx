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10F49D7A-D418-438E-8BFA-BADD182B5B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D11" i="1"/>
  <c r="E11" i="1"/>
  <c r="F11" i="1"/>
  <c r="C11" i="1"/>
  <c r="D9" i="1"/>
  <c r="E9" i="1"/>
  <c r="F9" i="1"/>
  <c r="G9" i="1"/>
  <c r="C9" i="1"/>
  <c r="G7" i="1"/>
  <c r="D7" i="1"/>
  <c r="E7" i="1"/>
  <c r="F7" i="1"/>
  <c r="C7" i="1"/>
  <c r="D4" i="1"/>
  <c r="E4" i="1"/>
  <c r="F4" i="1"/>
  <c r="G4" i="1"/>
  <c r="C4" i="1"/>
  <c r="F10" i="1"/>
  <c r="G10" i="1" s="1"/>
  <c r="F8" i="1"/>
  <c r="G8" i="1" s="1"/>
  <c r="G6" i="1"/>
  <c r="F6" i="1"/>
  <c r="G5" i="1"/>
  <c r="F5" i="1"/>
  <c r="F2" i="1"/>
</calcChain>
</file>

<file path=xl/sharedStrings.xml><?xml version="1.0" encoding="utf-8"?>
<sst xmlns="http://schemas.openxmlformats.org/spreadsheetml/2006/main" count="11" uniqueCount="11">
  <si>
    <t>Total revenue</t>
  </si>
  <si>
    <t>Cost of goods sold</t>
  </si>
  <si>
    <t>Gross profit</t>
  </si>
  <si>
    <t>Selling, general &amp; administrative</t>
  </si>
  <si>
    <t>Depreciation &amp; Amortization</t>
  </si>
  <si>
    <t>Operating income</t>
  </si>
  <si>
    <t>Interest expense</t>
  </si>
  <si>
    <t>Pretax income</t>
  </si>
  <si>
    <t>Taxes</t>
  </si>
  <si>
    <t>Net income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</si>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</sst>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0" fontId="1" fillId="3" borderId="2" xfId="0" applyFont="1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0"/>
  <sheetViews>
    <sheetView tabSelected="1" workbookViewId="0">
      <selection activeCell="D13" sqref="D13"/>
    </sheetView>
  </sheetViews>
  <sheetFormatPr defaultColWidth="12.6328125" defaultRowHeight="15.75" customHeight="1" x14ac:dyDescent="0.25"/>
  <cols>
    <col min="1" max="1" width="11.90625" customWidth="1"/>
    <col min="2" max="2" width="32" customWidth="1"/>
    <col min="3" max="26" width="11.90625" customWidth="1"/>
  </cols>
  <sheetData>
    <row r="1" spans="2:7" ht="15.75" customHeight="1" x14ac:dyDescent="0.3">
      <c r="B1" s="2" t="s">
        <v>10</v>
      </c>
      <c r="C1" s="3">
        <v>2021</v>
      </c>
      <c r="D1" s="3">
        <v>2022</v>
      </c>
      <c r="E1" s="3">
        <v>2023</v>
      </c>
      <c r="F1" s="3">
        <v>2024</v>
      </c>
      <c r="G1" s="4">
        <v>2025</v>
      </c>
    </row>
    <row r="2" spans="2:7" ht="15.75" customHeight="1" x14ac:dyDescent="0.25">
      <c r="B2" s="1" t="s">
        <v>0</v>
      </c>
      <c r="C2" s="1">
        <v>5254</v>
      </c>
      <c r="D2" s="1">
        <v>5525</v>
      </c>
      <c r="E2" s="1">
        <v>6278</v>
      </c>
      <c r="F2" s="1">
        <f>E2*1.15</f>
        <v>7219.7</v>
      </c>
      <c r="G2" s="1">
        <v>9783</v>
      </c>
    </row>
    <row r="3" spans="2:7" ht="15.75" customHeight="1" x14ac:dyDescent="0.25">
      <c r="B3" s="1" t="s">
        <v>1</v>
      </c>
      <c r="C3" s="1">
        <v>2850</v>
      </c>
      <c r="D3" s="1">
        <v>2869</v>
      </c>
      <c r="E3" s="1">
        <v>2998</v>
      </c>
      <c r="F3" s="1">
        <v>1850</v>
      </c>
      <c r="G3" s="1">
        <v>1250</v>
      </c>
    </row>
    <row r="4" spans="2:7" ht="15.75" customHeight="1" x14ac:dyDescent="0.25">
      <c r="B4" s="5" t="s">
        <v>2</v>
      </c>
      <c r="C4" s="6">
        <f>C2-C3</f>
        <v>2404</v>
      </c>
      <c r="D4" s="6">
        <f t="shared" ref="D4:G4" si="0">D2-D3</f>
        <v>2656</v>
      </c>
      <c r="E4" s="6">
        <f t="shared" si="0"/>
        <v>3280</v>
      </c>
      <c r="F4" s="6">
        <f t="shared" si="0"/>
        <v>5369.7</v>
      </c>
      <c r="G4" s="7">
        <f t="shared" si="0"/>
        <v>8533</v>
      </c>
    </row>
    <row r="5" spans="2:7" ht="15.75" customHeight="1" x14ac:dyDescent="0.25">
      <c r="B5" s="1" t="s">
        <v>3</v>
      </c>
      <c r="C5" s="1">
        <v>1065</v>
      </c>
      <c r="D5" s="1">
        <v>1125</v>
      </c>
      <c r="E5" s="1">
        <v>1348</v>
      </c>
      <c r="F5" s="1">
        <f t="shared" ref="F5:F6" si="1">E5*1.15</f>
        <v>1550.1999999999998</v>
      </c>
      <c r="G5" s="1">
        <f t="shared" ref="G5:G6" si="2">F5+1</f>
        <v>1551.1999999999998</v>
      </c>
    </row>
    <row r="6" spans="2:7" ht="15.75" customHeight="1" x14ac:dyDescent="0.25">
      <c r="B6" s="1" t="s">
        <v>4</v>
      </c>
      <c r="C6" s="1">
        <v>240</v>
      </c>
      <c r="D6" s="1">
        <v>240</v>
      </c>
      <c r="E6" s="1">
        <v>400</v>
      </c>
      <c r="F6" s="1">
        <f t="shared" si="1"/>
        <v>459.99999999999994</v>
      </c>
      <c r="G6" s="1">
        <f t="shared" si="2"/>
        <v>460.99999999999994</v>
      </c>
    </row>
    <row r="7" spans="2:7" ht="15.75" customHeight="1" x14ac:dyDescent="0.25">
      <c r="B7" s="8" t="s">
        <v>5</v>
      </c>
      <c r="C7" s="9">
        <f>C4-C5-C6</f>
        <v>1099</v>
      </c>
      <c r="D7" s="9">
        <f t="shared" ref="D7:F7" si="3">D4-D5-D6</f>
        <v>1291</v>
      </c>
      <c r="E7" s="9">
        <f t="shared" si="3"/>
        <v>1532</v>
      </c>
      <c r="F7" s="9">
        <f t="shared" si="3"/>
        <v>3359.5</v>
      </c>
      <c r="G7" s="9">
        <f>G4-G5-G6</f>
        <v>6520.8</v>
      </c>
    </row>
    <row r="8" spans="2:7" ht="15.75" customHeight="1" x14ac:dyDescent="0.25">
      <c r="B8" s="1" t="s">
        <v>6</v>
      </c>
      <c r="C8" s="1">
        <v>102</v>
      </c>
      <c r="D8" s="1">
        <v>106</v>
      </c>
      <c r="E8" s="1">
        <v>108</v>
      </c>
      <c r="F8" s="1">
        <f>E8*1.15</f>
        <v>124.19999999999999</v>
      </c>
      <c r="G8" s="1">
        <f>F8+1</f>
        <v>125.19999999999999</v>
      </c>
    </row>
    <row r="9" spans="2:7" ht="15.75" customHeight="1" x14ac:dyDescent="0.25">
      <c r="B9" s="8" t="s">
        <v>7</v>
      </c>
      <c r="C9" s="9">
        <f>C7-C8</f>
        <v>997</v>
      </c>
      <c r="D9" s="9">
        <f t="shared" ref="D9:F9" si="4">D7-D8</f>
        <v>1185</v>
      </c>
      <c r="E9" s="9">
        <f t="shared" si="4"/>
        <v>1424</v>
      </c>
      <c r="F9" s="9">
        <f t="shared" si="4"/>
        <v>3235.3</v>
      </c>
      <c r="G9" s="9">
        <f t="shared" ref="G9" si="5">G7-G8</f>
        <v>6395.6</v>
      </c>
    </row>
    <row r="10" spans="2:7" ht="15.75" customHeight="1" x14ac:dyDescent="0.25">
      <c r="B10" s="1" t="s">
        <v>8</v>
      </c>
      <c r="C10">
        <v>209.37</v>
      </c>
      <c r="D10" s="1">
        <v>248.85</v>
      </c>
      <c r="E10" s="1">
        <v>299.03999999999996</v>
      </c>
      <c r="F10" s="1">
        <f>E10*1.15</f>
        <v>343.89599999999996</v>
      </c>
      <c r="G10" s="1">
        <f>F10+1</f>
        <v>344.89599999999996</v>
      </c>
    </row>
    <row r="11" spans="2:7" ht="15.75" customHeight="1" x14ac:dyDescent="0.25">
      <c r="B11" s="10" t="s">
        <v>9</v>
      </c>
      <c r="C11" s="11">
        <f>C9-C10</f>
        <v>787.63</v>
      </c>
      <c r="D11" s="11">
        <f t="shared" ref="D11:F11" si="6">D9-D10</f>
        <v>936.15</v>
      </c>
      <c r="E11" s="11">
        <f t="shared" si="6"/>
        <v>1124.96</v>
      </c>
      <c r="F11" s="11">
        <f t="shared" si="6"/>
        <v>2891.4040000000005</v>
      </c>
      <c r="G11" s="11">
        <f>G9-G10</f>
        <v>6050.7040000000006</v>
      </c>
    </row>
    <row r="21" ht="12.5" x14ac:dyDescent="0.25"/>
    <row r="22" ht="12.5" x14ac:dyDescent="0.25"/>
    <row r="23" ht="12.5" x14ac:dyDescent="0.25"/>
    <row r="24" ht="12.5" x14ac:dyDescent="0.25"/>
    <row r="25" ht="12.5" x14ac:dyDescent="0.25"/>
    <row r="26" ht="12.5" x14ac:dyDescent="0.25"/>
    <row r="27" ht="12.5" x14ac:dyDescent="0.25"/>
    <row r="28" ht="12.5" x14ac:dyDescent="0.25"/>
    <row r="29" ht="12.5" x14ac:dyDescent="0.25"/>
    <row r="30" ht="12.5" x14ac:dyDescent="0.25"/>
    <row r="31" ht="12.5" x14ac:dyDescent="0.25"/>
    <row r="32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2026-06-30T15:11:30Z</dcterms:created>
  <dcterms:modified xsi:type="dcterms:W3CDTF">2026-06-30T15:11:30Z</dcterms:modified>
</cp:coreProperties>
</file>